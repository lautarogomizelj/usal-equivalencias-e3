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<sst xmlns="http://schemas.openxmlformats.org/spreadsheetml/2006/main" count="92" uniqueCount="62">
  <si>
    <t>Nro. Estado</t>
  </si>
  <si>
    <t>Actor</t>
  </si>
  <si>
    <t>Acción</t>
  </si>
  <si>
    <t>Estado Origen</t>
  </si>
  <si>
    <t>Estado Destino</t>
  </si>
  <si>
    <t>Comentario</t>
  </si>
  <si>
    <t>Aspirante</t>
  </si>
  <si>
    <t>Crear solicitud</t>
  </si>
  <si>
    <t>Inicial</t>
  </si>
  <si>
    <t>Solicitud iniciada</t>
  </si>
  <si>
    <t>Puede subir matriz de equivalencia y armar posible horario de cursada</t>
  </si>
  <si>
    <t>Enviar documentacion</t>
  </si>
  <si>
    <t>Documentación pendiente de revisión</t>
  </si>
  <si>
    <t>Academico</t>
  </si>
  <si>
    <t>Rechaza documentacion</t>
  </si>
  <si>
    <t>Documentación rechazada</t>
  </si>
  <si>
    <t>Re-enviar documentacion</t>
  </si>
  <si>
    <t>Acepta</t>
  </si>
  <si>
    <t>Análisis preliminar pendiente</t>
  </si>
  <si>
    <t>Sube documentacion y sugiere fechas disponibles</t>
  </si>
  <si>
    <t>Reunión pendiente de fechas aspirante</t>
  </si>
  <si>
    <t>El Académico sube la matriz de equivalencias y arma el posible horario de cursada; se le mandan al aspirante junto con las fechas disponibles para la reunión</t>
  </si>
  <si>
    <t>Solicita otras fechas</t>
  </si>
  <si>
    <t>Reunión pendiente de fechas académico</t>
  </si>
  <si>
    <t>aspirante envia motivo y detalle de cuando puede reunirse</t>
  </si>
  <si>
    <t>Sugiere 2da ronda de fechas</t>
  </si>
  <si>
    <t>Seleccionar fechas</t>
  </si>
  <si>
    <t>Reunión pendiente de realización</t>
  </si>
  <si>
    <t>el academico incluye un enlace de meet para la reunion</t>
  </si>
  <si>
    <t>Rechaza 2da ronda de fechas</t>
  </si>
  <si>
    <t>Resolución fecha por chat</t>
  </si>
  <si>
    <t>Tanto al academico como aspirante, se les va a poner por default el chat para que pauten una fecha</t>
  </si>
  <si>
    <t>Fijar fecha</t>
  </si>
  <si>
    <t>Cuando se toca el boton, se abre un modal preguntando la fecha pautada para la reunion</t>
  </si>
  <si>
    <t>Indica que la reunión finalizó</t>
  </si>
  <si>
    <t>Análisis pos reunión</t>
  </si>
  <si>
    <t>Espacio previo a la aceptacion/rechazo de la inscripcion, en donde si hace falta, pueda re-subir documentos.</t>
  </si>
  <si>
    <t>Aceptar analisis preliminar/equivalencias</t>
  </si>
  <si>
    <t>Inscripción aceptada</t>
  </si>
  <si>
    <t>Rechazar analisis preliminar/Equivalencia</t>
  </si>
  <si>
    <t>Inscripción rechazada</t>
  </si>
  <si>
    <t>Se termina el proceso</t>
  </si>
  <si>
    <t>Indica la legalidad de sus documentos</t>
  </si>
  <si>
    <t>Análisis de documentos legalizados</t>
  </si>
  <si>
    <t>El aspirante tiene que responder si su documentacion esta legalizada</t>
  </si>
  <si>
    <t>Rechaza documentos</t>
  </si>
  <si>
    <t>Documentos legalizados rechazados</t>
  </si>
  <si>
    <t>Reenvia documentos legalizados</t>
  </si>
  <si>
    <t>Acepta documentos</t>
  </si>
  <si>
    <t>Solicitud de cupón de pago</t>
  </si>
  <si>
    <t xml:space="preserve">Al aspirante se le informa la cantidad de materias </t>
  </si>
  <si>
    <t>Administrativo</t>
  </si>
  <si>
    <t>Envio del cupon de pago</t>
  </si>
  <si>
    <t>Pago de cupón por aspirante</t>
  </si>
  <si>
    <t>Envia comprobante</t>
  </si>
  <si>
    <t>Control de pago</t>
  </si>
  <si>
    <t>Se realiza la transferencia y se adjunta el comprobante a forma de confirmacion</t>
  </si>
  <si>
    <t>Pago rechazado</t>
  </si>
  <si>
    <t>Reenvío de comprobante</t>
  </si>
  <si>
    <t xml:space="preserve">Aspirante </t>
  </si>
  <si>
    <t>Pago aceptado</t>
  </si>
  <si>
    <t>Inicio de 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</si>
</sst>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26E54"/>
        <bgColor rgb="FF226E54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0"/>
    </xf>
    <xf borderId="5" fillId="5" fontId="2" numFmtId="0" xfId="0" applyAlignment="1" applyBorder="1" applyFill="1" applyFont="1">
      <alignment horizontal="center" shrinkToFit="0" vertical="center" wrapText="0"/>
    </xf>
    <xf borderId="5" fillId="5" fontId="2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2:H47" displayName="ESTADOS" name="ESTADOS" id="1">
  <tableColumns count="6">
    <tableColumn name="Nro. Estado" id="1"/>
    <tableColumn name="Actor" id="2"/>
    <tableColumn name="Acción" id="3"/>
    <tableColumn name="Estado Origen" id="4"/>
    <tableColumn name="Estado Destino" id="5"/>
    <tableColumn name="Comentario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13"/>
    <col customWidth="1" min="5" max="5" width="22.5"/>
    <col customWidth="1" min="6" max="6" width="20.5"/>
    <col customWidth="1" min="7" max="7" width="20.88"/>
    <col customWidth="1" min="8" max="8" width="36.0"/>
  </cols>
  <sheetData>
    <row r="1" hidden="1"/>
    <row r="2" ht="22.5" customHeight="1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3" t="s">
        <v>5</v>
      </c>
    </row>
    <row r="3" ht="22.5" customHeight="1">
      <c r="C3" s="2">
        <v>1.0</v>
      </c>
      <c r="D3" s="2" t="s">
        <v>6</v>
      </c>
      <c r="E3" s="4" t="s">
        <v>7</v>
      </c>
      <c r="F3" s="4" t="s">
        <v>8</v>
      </c>
      <c r="G3" s="4" t="s">
        <v>9</v>
      </c>
      <c r="H3" s="4"/>
    </row>
    <row r="4" ht="22.5" customHeight="1">
      <c r="C4" s="5">
        <f t="shared" ref="C4:C11" si="1">C3+1</f>
        <v>2</v>
      </c>
      <c r="D4" s="2" t="s">
        <v>6</v>
      </c>
      <c r="E4" s="4" t="s">
        <v>11</v>
      </c>
      <c r="F4" s="4" t="s">
        <v>9</v>
      </c>
      <c r="G4" s="4" t="s">
        <v>12</v>
      </c>
      <c r="H4" s="4"/>
    </row>
    <row r="5" ht="22.5" customHeight="1">
      <c r="C5" s="5">
        <f t="shared" si="1"/>
        <v>3</v>
      </c>
      <c r="D5" s="2" t="s">
        <v>13</v>
      </c>
      <c r="E5" s="4" t="s">
        <v>14</v>
      </c>
      <c r="F5" s="4" t="s">
        <v>12</v>
      </c>
      <c r="G5" s="4" t="s">
        <v>15</v>
      </c>
      <c r="H5" s="4"/>
    </row>
    <row r="6" ht="22.5" customHeight="1">
      <c r="C6" s="5">
        <f t="shared" si="1"/>
        <v>4</v>
      </c>
      <c r="D6" s="2" t="s">
        <v>6</v>
      </c>
      <c r="E6" s="4" t="s">
        <v>16</v>
      </c>
      <c r="F6" s="4" t="s">
        <v>15</v>
      </c>
      <c r="G6" s="4" t="s">
        <v>12</v>
      </c>
      <c r="H6" s="4"/>
    </row>
    <row r="7" ht="22.5" customHeight="1">
      <c r="C7" s="5">
        <f t="shared" si="1"/>
        <v>5</v>
      </c>
      <c r="D7" s="2" t="s">
        <v>13</v>
      </c>
      <c r="E7" s="4" t="s">
        <v>17</v>
      </c>
      <c r="F7" s="4" t="s">
        <v>12</v>
      </c>
      <c r="G7" s="4" t="s">
        <v>18</v>
      </c>
      <c r="H7" s="4"/>
    </row>
    <row r="8" ht="22.5" customHeight="1">
      <c r="C8" s="6">
        <f t="shared" si="1"/>
        <v>6</v>
      </c>
      <c r="D8" s="7" t="s">
        <v>13</v>
      </c>
      <c r="E8" s="8" t="s">
        <v>19</v>
      </c>
      <c r="F8" s="8" t="str">
        <f t="shared" ref="F8:F11" si="2">G7</f>
        <v>Análisis preliminar pendiente</v>
      </c>
      <c r="G8" s="8" t="s">
        <v>20</v>
      </c>
      <c r="H8" s="4" t="s">
        <v>21</v>
      </c>
    </row>
    <row r="9" ht="22.5" customHeight="1">
      <c r="C9" s="6">
        <f t="shared" si="1"/>
        <v>7</v>
      </c>
      <c r="D9" s="7" t="s">
        <v>6</v>
      </c>
      <c r="E9" s="8" t="s">
        <v>22</v>
      </c>
      <c r="F9" s="8" t="str">
        <f t="shared" si="2"/>
        <v>Reunión pendiente de fechas aspirante</v>
      </c>
      <c r="G9" s="8" t="s">
        <v>23</v>
      </c>
      <c r="H9" s="4" t="s">
        <v>24</v>
      </c>
    </row>
    <row r="10" ht="22.5" customHeight="1">
      <c r="C10" s="6">
        <f t="shared" si="1"/>
        <v>8</v>
      </c>
      <c r="D10" s="7" t="s">
        <v>13</v>
      </c>
      <c r="E10" s="8" t="s">
        <v>25</v>
      </c>
      <c r="F10" s="8" t="str">
        <f t="shared" si="2"/>
        <v>Reunión pendiente de fechas académico</v>
      </c>
      <c r="G10" s="8" t="s">
        <v>20</v>
      </c>
      <c r="H10" s="4"/>
    </row>
    <row r="11" ht="22.5" customHeight="1">
      <c r="C11" s="6">
        <f t="shared" si="1"/>
        <v>9</v>
      </c>
      <c r="D11" s="7" t="s">
        <v>6</v>
      </c>
      <c r="E11" s="8" t="s">
        <v>26</v>
      </c>
      <c r="F11" s="8" t="str">
        <f t="shared" si="2"/>
        <v>Reunión pendiente de fechas aspirante</v>
      </c>
      <c r="G11" s="8" t="s">
        <v>27</v>
      </c>
      <c r="H11" s="4" t="s">
        <v>28</v>
      </c>
    </row>
    <row r="12" ht="24.0" customHeight="1">
      <c r="C12" s="9"/>
      <c r="D12" s="9"/>
      <c r="E12" s="9"/>
      <c r="F12" s="9"/>
      <c r="G12" s="9"/>
      <c r="H12" s="9"/>
    </row>
    <row r="13" ht="22.5" customHeight="1">
      <c r="C13" s="7">
        <v>10.0</v>
      </c>
      <c r="D13" s="7" t="s">
        <v>6</v>
      </c>
      <c r="E13" s="8" t="s">
        <v>29</v>
      </c>
      <c r="F13" s="8" t="str">
        <f>G10</f>
        <v>Reunión pendiente de fechas aspirante</v>
      </c>
      <c r="G13" s="8" t="s">
        <v>30</v>
      </c>
      <c r="H13" s="4" t="s">
        <v>31</v>
      </c>
    </row>
    <row r="14" ht="22.5" customHeight="1">
      <c r="C14" s="6">
        <f>C13+1</f>
        <v>11</v>
      </c>
      <c r="D14" s="7" t="s">
        <v>13</v>
      </c>
      <c r="E14" s="8" t="s">
        <v>32</v>
      </c>
      <c r="F14" s="8" t="str">
        <f>G13</f>
        <v>Resolución fecha por chat</v>
      </c>
      <c r="G14" s="8" t="s">
        <v>27</v>
      </c>
      <c r="H14" s="4" t="s">
        <v>33</v>
      </c>
    </row>
    <row r="15" ht="24.0" customHeight="1">
      <c r="C15" s="9"/>
      <c r="D15" s="9"/>
      <c r="E15" s="9"/>
      <c r="F15" s="9"/>
      <c r="G15" s="9"/>
      <c r="H15" s="9"/>
    </row>
    <row r="16" ht="22.5" customHeight="1">
      <c r="C16" s="7">
        <v>12.0</v>
      </c>
      <c r="D16" s="7" t="s">
        <v>13</v>
      </c>
      <c r="E16" s="8" t="s">
        <v>34</v>
      </c>
      <c r="F16" s="8" t="str">
        <f>G14</f>
        <v>Reunión pendiente de realización</v>
      </c>
      <c r="G16" s="8" t="s">
        <v>35</v>
      </c>
      <c r="H16" s="4" t="s">
        <v>36</v>
      </c>
    </row>
    <row r="17" ht="22.5" customHeight="1">
      <c r="C17" s="7">
        <f t="shared" ref="C17:C18" si="3">C16+1</f>
        <v>13</v>
      </c>
      <c r="D17" s="7" t="s">
        <v>13</v>
      </c>
      <c r="E17" s="8" t="s">
        <v>37</v>
      </c>
      <c r="F17" s="8" t="str">
        <f>G16</f>
        <v>Análisis pos reunión</v>
      </c>
      <c r="G17" s="8" t="s">
        <v>38</v>
      </c>
      <c r="H17" s="4"/>
    </row>
    <row r="18" ht="22.5" customHeight="1">
      <c r="C18" s="7">
        <f t="shared" si="3"/>
        <v>14</v>
      </c>
      <c r="D18" s="7" t="s">
        <v>13</v>
      </c>
      <c r="E18" s="8" t="s">
        <v>39</v>
      </c>
      <c r="F18" s="8" t="s">
        <v>35</v>
      </c>
      <c r="G18" s="8" t="s">
        <v>40</v>
      </c>
      <c r="H18" s="4" t="s">
        <v>41</v>
      </c>
    </row>
    <row r="19" ht="22.5" customHeight="1">
      <c r="C19" s="9"/>
      <c r="D19" s="9"/>
      <c r="E19" s="9"/>
      <c r="F19" s="9"/>
      <c r="G19" s="9"/>
      <c r="H19" s="9"/>
    </row>
    <row r="20" ht="22.5" customHeight="1">
      <c r="C20" s="7">
        <v>15.0</v>
      </c>
      <c r="D20" s="10" t="s">
        <v>6</v>
      </c>
      <c r="E20" s="11" t="s">
        <v>42</v>
      </c>
      <c r="F20" s="8" t="s">
        <v>38</v>
      </c>
      <c r="G20" s="11" t="s">
        <v>43</v>
      </c>
      <c r="H20" s="4" t="s">
        <v>44</v>
      </c>
    </row>
    <row r="21" ht="22.5" customHeight="1">
      <c r="C21" s="7">
        <f t="shared" ref="C21:C23" si="4">C20+1</f>
        <v>16</v>
      </c>
      <c r="D21" s="10" t="s">
        <v>13</v>
      </c>
      <c r="E21" s="11" t="s">
        <v>45</v>
      </c>
      <c r="F21" s="11" t="str">
        <f t="shared" ref="F21:F23" si="5">G20</f>
        <v>Análisis de documentos legalizados</v>
      </c>
      <c r="G21" s="11" t="s">
        <v>46</v>
      </c>
      <c r="H21" s="4"/>
    </row>
    <row r="22" ht="22.5" customHeight="1">
      <c r="C22" s="7">
        <f t="shared" si="4"/>
        <v>17</v>
      </c>
      <c r="D22" s="10" t="s">
        <v>6</v>
      </c>
      <c r="E22" s="11" t="s">
        <v>47</v>
      </c>
      <c r="F22" s="11" t="str">
        <f t="shared" si="5"/>
        <v>Documentos legalizados rechazados</v>
      </c>
      <c r="G22" s="11" t="s">
        <v>43</v>
      </c>
      <c r="H22" s="4"/>
    </row>
    <row r="23" ht="22.5" customHeight="1">
      <c r="C23" s="7">
        <f t="shared" si="4"/>
        <v>18</v>
      </c>
      <c r="D23" s="10" t="s">
        <v>13</v>
      </c>
      <c r="E23" s="11" t="s">
        <v>48</v>
      </c>
      <c r="F23" s="12" t="str">
        <f t="shared" si="5"/>
        <v>Análisis de documentos legalizados</v>
      </c>
      <c r="G23" s="11" t="s">
        <v>49</v>
      </c>
      <c r="H23" s="4" t="s">
        <v>50</v>
      </c>
    </row>
    <row r="24" ht="22.5" customHeight="1">
      <c r="C24" s="9"/>
      <c r="D24" s="9"/>
      <c r="E24" s="9"/>
      <c r="F24" s="9"/>
      <c r="G24" s="9"/>
      <c r="H24" s="9"/>
    </row>
    <row r="25" ht="22.5" customHeight="1">
      <c r="C25" s="7">
        <v>19.0</v>
      </c>
      <c r="D25" s="13" t="s">
        <v>51</v>
      </c>
      <c r="E25" s="11" t="s">
        <v>52</v>
      </c>
      <c r="F25" s="11" t="str">
        <f>G23</f>
        <v>Solicitud de cupón de pago</v>
      </c>
      <c r="G25" s="11" t="s">
        <v>53</v>
      </c>
      <c r="H25" s="14"/>
    </row>
    <row r="26" ht="22.5" customHeight="1">
      <c r="C26" s="7">
        <v>20.0</v>
      </c>
      <c r="D26" s="13" t="s">
        <v>6</v>
      </c>
      <c r="E26" s="11" t="s">
        <v>54</v>
      </c>
      <c r="F26" s="11" t="str">
        <f>G25</f>
        <v>Pago de cupón por aspirante</v>
      </c>
      <c r="G26" s="11" t="s">
        <v>55</v>
      </c>
      <c r="H26" s="11" t="s">
        <v>56</v>
      </c>
    </row>
    <row r="27" ht="22.5" customHeight="1">
      <c r="C27" s="2">
        <v>21</v>
      </c>
      <c r="D27" s="13" t="s">
        <v>51</v>
      </c>
      <c r="E27" s="11" t="s">
        <v>57</v>
      </c>
      <c r="F27" s="4" t="str">
        <f>G26</f>
        <v>Control de pago</v>
      </c>
      <c r="G27" s="11" t="s">
        <v>58</v>
      </c>
      <c r="H27" s="11"/>
    </row>
    <row r="28" ht="22.5" customHeight="1">
      <c r="C28" s="2">
        <v>22</v>
      </c>
      <c r="D28" s="2" t="s">
        <v>59</v>
      </c>
      <c r="E28" s="2" t="inlineStr">
        <is>
          <t>Reenvía comprobante</t>
        </is>
      </c>
      <c r="F28" s="2" t="str">
        <f t="shared" ref="F28:F29" si="6">G27</f>
        <v>Reenvío de comprobante</v>
      </c>
      <c r="G28" s="11" t="s">
        <v>55</v>
      </c>
      <c r="H28" s="11"/>
    </row>
    <row r="29" ht="22.5" customHeight="1">
      <c r="C29" s="2">
        <v>23</v>
      </c>
      <c r="D29" s="13" t="s">
        <v>51</v>
      </c>
      <c r="E29" s="11" t="s">
        <v>60</v>
      </c>
      <c r="F29" s="4" t="str">
        <f t="shared" si="6"/>
        <v>Control de pago</v>
      </c>
      <c r="G29" s="11" t="s">
        <v>61</v>
      </c>
      <c r="H29" s="11"/>
    </row>
    <row r="30" ht="22.5" customHeight="1">
      <c r="C30" s="9"/>
      <c r="D30" s="9"/>
      <c r="E30" s="9"/>
      <c r="F30" s="9"/>
      <c r="G30" s="9"/>
      <c r="H30" s="9"/>
    </row>
    <row r="31" ht="22.5" customHeight="1">
      <c r="C31" s="7"/>
      <c r="D31" s="13"/>
      <c r="E31" s="11"/>
      <c r="F31" s="12"/>
      <c r="G31" s="12"/>
      <c r="H31" s="11"/>
    </row>
    <row r="32" ht="22.5" customHeight="1">
      <c r="C32" s="7"/>
      <c r="D32" s="13"/>
      <c r="E32" s="11"/>
      <c r="F32" s="12"/>
      <c r="G32" s="12"/>
      <c r="H32" s="11"/>
    </row>
    <row r="33" ht="22.5" customHeight="1">
      <c r="C33" s="5"/>
      <c r="D33" s="13"/>
      <c r="E33" s="11"/>
      <c r="F33" s="12"/>
      <c r="G33" s="12"/>
      <c r="H33" s="11"/>
    </row>
    <row r="34" ht="22.5" customHeight="1">
      <c r="C34" s="7"/>
      <c r="D34" s="13"/>
      <c r="E34" s="11"/>
      <c r="F34" s="12"/>
      <c r="G34" s="12"/>
      <c r="H34" s="11"/>
    </row>
    <row r="35" ht="22.5" customHeight="1">
      <c r="C35" s="15"/>
      <c r="D35" s="16"/>
      <c r="E35" s="17"/>
      <c r="F35" s="17"/>
      <c r="G35" s="17"/>
      <c r="H35" s="18"/>
    </row>
    <row r="36" ht="22.5" customHeight="1">
      <c r="C36" s="19"/>
      <c r="D36" s="20"/>
      <c r="E36" s="21"/>
      <c r="F36" s="21"/>
      <c r="G36" s="21"/>
      <c r="H36" s="22"/>
    </row>
    <row r="37" ht="22.5" customHeight="1">
      <c r="C37" s="15"/>
      <c r="D37" s="16"/>
      <c r="E37" s="17"/>
      <c r="F37" s="17"/>
      <c r="G37" s="17"/>
      <c r="H37" s="18"/>
    </row>
    <row r="38" ht="22.5" customHeight="1">
      <c r="C38" s="19"/>
      <c r="D38" s="20"/>
      <c r="E38" s="21"/>
      <c r="F38" s="21"/>
      <c r="G38" s="21"/>
      <c r="H38" s="22"/>
    </row>
    <row r="39" ht="22.5" customHeight="1">
      <c r="C39" s="15"/>
      <c r="D39" s="16"/>
      <c r="E39" s="17"/>
      <c r="F39" s="17"/>
      <c r="G39" s="17"/>
      <c r="H39" s="18"/>
    </row>
    <row r="40" ht="22.5" customHeight="1">
      <c r="C40" s="19"/>
      <c r="D40" s="20"/>
      <c r="E40" s="21"/>
      <c r="F40" s="21"/>
      <c r="G40" s="21"/>
      <c r="H40" s="22"/>
    </row>
    <row r="41" ht="22.5" customHeight="1">
      <c r="C41" s="15"/>
      <c r="D41" s="16"/>
      <c r="E41" s="17"/>
      <c r="F41" s="17"/>
      <c r="G41" s="17"/>
      <c r="H41" s="18"/>
    </row>
    <row r="42" ht="22.5" customHeight="1">
      <c r="C42" s="19"/>
      <c r="D42" s="20"/>
      <c r="E42" s="21"/>
      <c r="F42" s="21"/>
      <c r="G42" s="21"/>
      <c r="H42" s="22"/>
    </row>
    <row r="43" ht="22.5" customHeight="1">
      <c r="C43" s="15"/>
      <c r="D43" s="16"/>
      <c r="E43" s="17"/>
      <c r="F43" s="17"/>
      <c r="G43" s="17"/>
      <c r="H43" s="18"/>
    </row>
    <row r="44" ht="22.5" customHeight="1">
      <c r="C44" s="19"/>
      <c r="D44" s="20"/>
      <c r="E44" s="21"/>
      <c r="F44" s="21"/>
      <c r="G44" s="21"/>
      <c r="H44" s="22"/>
    </row>
    <row r="45" ht="22.5" customHeight="1">
      <c r="C45" s="15"/>
      <c r="D45" s="16"/>
      <c r="E45" s="17"/>
      <c r="F45" s="17"/>
      <c r="G45" s="17"/>
      <c r="H45" s="18"/>
    </row>
    <row r="46" ht="22.5" customHeight="1">
      <c r="C46" s="19"/>
      <c r="D46" s="20"/>
      <c r="E46" s="21"/>
      <c r="F46" s="21"/>
      <c r="G46" s="21"/>
      <c r="H46" s="22"/>
    </row>
    <row r="47" ht="22.5" customHeight="1">
      <c r="C47" s="15"/>
      <c r="D47" s="16"/>
      <c r="E47" s="17"/>
      <c r="F47" s="17"/>
      <c r="G47" s="17"/>
      <c r="H47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